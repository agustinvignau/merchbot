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ock" sheetId="1" state="visible" r:id="rId3"/>
    <sheet name="Pedido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<sst xmlns="http://schemas.openxmlformats.org/spreadsheetml/2006/main" count="284" uniqueCount="125">
  <si>
    <t xml:space="preserve">SKU</t>
  </si>
  <si>
    <t xml:space="preserve">Producto</t>
  </si>
  <si>
    <t xml:space="preserve">Modelo</t>
  </si>
  <si>
    <t xml:space="preserve">Color</t>
  </si>
  <si>
    <t xml:space="preserve">Talle</t>
  </si>
  <si>
    <t xml:space="preserve">Stock Inicial</t>
  </si>
  <si>
    <t xml:space="preserve">Ingresos</t>
  </si>
  <si>
    <t xml:space="preserve">Pedidos</t>
  </si>
  <si>
    <t xml:space="preserve">Stock Actual</t>
  </si>
  <si>
    <t xml:space="preserve">Estado</t>
  </si>
  <si>
    <t xml:space="preserve">REM-CR-BCO-S</t>
  </si>
  <si>
    <t xml:space="preserve">Remera</t>
  </si>
  <si>
    <t xml:space="preserve">Cuello Redondo</t>
  </si>
  <si>
    <t xml:space="preserve">Blanco</t>
  </si>
  <si>
    <t xml:space="preserve">S</t>
  </si>
  <si>
    <t xml:space="preserve">REM-CR-BCO-M</t>
  </si>
  <si>
    <t xml:space="preserve">M</t>
  </si>
  <si>
    <t xml:space="preserve">REM-CR-BCO-L</t>
  </si>
  <si>
    <t xml:space="preserve">L</t>
  </si>
  <si>
    <t xml:space="preserve">REM-CR-BCO-XL</t>
  </si>
  <si>
    <t xml:space="preserve">XL</t>
  </si>
  <si>
    <t xml:space="preserve">REM-CR-NEG-M</t>
  </si>
  <si>
    <t xml:space="preserve">Negro</t>
  </si>
  <si>
    <t xml:space="preserve">REM-CR-NEG-L</t>
  </si>
  <si>
    <t xml:space="preserve">REM-DF-NEG-M</t>
  </si>
  <si>
    <t xml:space="preserve">Dry-Fit</t>
  </si>
  <si>
    <t xml:space="preserve">REM-DF-NEG-L</t>
  </si>
  <si>
    <t xml:space="preserve">REM-DF-AZU-M</t>
  </si>
  <si>
    <t xml:space="preserve">Azul</t>
  </si>
  <si>
    <t xml:space="preserve">REM-DF-AZU-L</t>
  </si>
  <si>
    <t xml:space="preserve">REM-DF-ROJ-M</t>
  </si>
  <si>
    <t xml:space="preserve">Rojo</t>
  </si>
  <si>
    <t xml:space="preserve">BUZ-CN-GRI-M</t>
  </si>
  <si>
    <t xml:space="preserve">Buzo</t>
  </si>
  <si>
    <t xml:space="preserve">Canguro</t>
  </si>
  <si>
    <t xml:space="preserve">Gris</t>
  </si>
  <si>
    <t xml:space="preserve">BUZ-CN-GRI-L</t>
  </si>
  <si>
    <t xml:space="preserve">BUZ-CN-GRI-XL</t>
  </si>
  <si>
    <t xml:space="preserve">BUZ-CN-NEG-M</t>
  </si>
  <si>
    <t xml:space="preserve">BUZ-CN-NEG-L</t>
  </si>
  <si>
    <t xml:space="preserve">BUZ-CN-NEG-XL</t>
  </si>
  <si>
    <t xml:space="preserve">BUZ-CN-BOR-L</t>
  </si>
  <si>
    <t xml:space="preserve">Bordó</t>
  </si>
  <si>
    <t xml:space="preserve">BUZ-CR-GRI-M</t>
  </si>
  <si>
    <t xml:space="preserve">BUZ-CR-GRI-L</t>
  </si>
  <si>
    <t xml:space="preserve">BUZ-CR-NEG-M</t>
  </si>
  <si>
    <t xml:space="preserve">CAM-CIE-NEG-M</t>
  </si>
  <si>
    <t xml:space="preserve">Campera</t>
  </si>
  <si>
    <t xml:space="preserve">Con Cierre</t>
  </si>
  <si>
    <t xml:space="preserve">CAM-CIE-NEG-L</t>
  </si>
  <si>
    <t xml:space="preserve">CAM-CIE-AZU-L</t>
  </si>
  <si>
    <t xml:space="preserve">CHO-PIQ-BCO-M</t>
  </si>
  <si>
    <t xml:space="preserve">Chomba</t>
  </si>
  <si>
    <t xml:space="preserve">Piqué</t>
  </si>
  <si>
    <t xml:space="preserve">CHO-PIQ-BCO-L</t>
  </si>
  <si>
    <t xml:space="preserve">CHO-PIQ-AZM-L</t>
  </si>
  <si>
    <t xml:space="preserve">Azul Marino</t>
  </si>
  <si>
    <t xml:space="preserve">CHO-PIQ-NEG-M</t>
  </si>
  <si>
    <t xml:space="preserve">GOR-RES-NEG</t>
  </si>
  <si>
    <t xml:space="preserve">Gorra</t>
  </si>
  <si>
    <t xml:space="preserve">Con Respiración</t>
  </si>
  <si>
    <t xml:space="preserve">Único</t>
  </si>
  <si>
    <t xml:space="preserve">GOR-RES-BCO</t>
  </si>
  <si>
    <t xml:space="preserve">GOR-RES-AZU</t>
  </si>
  <si>
    <t xml:space="preserve">GOR-RES-ROJ</t>
  </si>
  <si>
    <t xml:space="preserve">TAZ-CER-BCA</t>
  </si>
  <si>
    <t xml:space="preserve">Taza</t>
  </si>
  <si>
    <t xml:space="preserve">Cerámica</t>
  </si>
  <si>
    <t xml:space="preserve">TAZ-CER-NEG</t>
  </si>
  <si>
    <t xml:space="preserve">Cerámica Interior Negro</t>
  </si>
  <si>
    <t xml:space="preserve">TAZ-MAG</t>
  </si>
  <si>
    <t xml:space="preserve">Mágica</t>
  </si>
  <si>
    <t xml:space="preserve">Negro/Blanco</t>
  </si>
  <si>
    <t xml:space="preserve">LLA-ACR-RED</t>
  </si>
  <si>
    <t xml:space="preserve">Llavero</t>
  </si>
  <si>
    <t xml:space="preserve">Acrílico Redondo</t>
  </si>
  <si>
    <t xml:space="preserve">Transparente</t>
  </si>
  <si>
    <t xml:space="preserve">LLA-ACR-REC</t>
  </si>
  <si>
    <t xml:space="preserve">Acrílico Rectangular</t>
  </si>
  <si>
    <t xml:space="preserve">Fecha</t>
  </si>
  <si>
    <t xml:space="preserve">Cliente</t>
  </si>
  <si>
    <t xml:space="preserve">Cantidad</t>
  </si>
  <si>
    <t xml:space="preserve">2026-04-15</t>
  </si>
  <si>
    <t xml:space="preserve">Coca-Cola - Evento Verano</t>
  </si>
  <si>
    <t xml:space="preserve">Remera Cuello Redondo Blanco M</t>
  </si>
  <si>
    <t xml:space="preserve">Remera Cuello Redondo Blanco L</t>
  </si>
  <si>
    <t xml:space="preserve">Gorra Con Respiración Rojo Único</t>
  </si>
  <si>
    <t xml:space="preserve">2026-04-18</t>
  </si>
  <si>
    <t xml:space="preserve">Banco Nación - Capacitación</t>
  </si>
  <si>
    <t xml:space="preserve">Chomba Piqué Blanco L</t>
  </si>
  <si>
    <t xml:space="preserve">2026-04-20</t>
  </si>
  <si>
    <t xml:space="preserve">Universidad UADE</t>
  </si>
  <si>
    <t xml:space="preserve">Buzo Canguro Gris L</t>
  </si>
  <si>
    <t xml:space="preserve">Buzo Canguro Gris XL</t>
  </si>
  <si>
    <t xml:space="preserve">2026-04-22</t>
  </si>
  <si>
    <t xml:space="preserve">Empresa TechCorp</t>
  </si>
  <si>
    <t xml:space="preserve">Taza Cerámica Blanco Único</t>
  </si>
  <si>
    <t xml:space="preserve">Llavero Acrílico Redondo Transparente Único</t>
  </si>
  <si>
    <t xml:space="preserve">2026-04-25</t>
  </si>
  <si>
    <t xml:space="preserve">Casamiento Pérez-García</t>
  </si>
  <si>
    <t xml:space="preserve">2026-04-28</t>
  </si>
  <si>
    <t xml:space="preserve">Movistar - Día del Padre</t>
  </si>
  <si>
    <t xml:space="preserve">Remera Dry-Fit Negro M</t>
  </si>
  <si>
    <t xml:space="preserve">Remera Dry-Fit Negro L</t>
  </si>
  <si>
    <t xml:space="preserve">2026-05-02</t>
  </si>
  <si>
    <t xml:space="preserve">Mercado Libre - Onboarding</t>
  </si>
  <si>
    <t xml:space="preserve">Buzo Canguro Negro L</t>
  </si>
  <si>
    <t xml:space="preserve">Buzo Canguro Negro M</t>
  </si>
  <si>
    <t xml:space="preserve">2026-05-05</t>
  </si>
  <si>
    <t xml:space="preserve">Hospital Italiano</t>
  </si>
  <si>
    <t xml:space="preserve">Chomba Piqué Blanco M</t>
  </si>
  <si>
    <t xml:space="preserve">2026-05-08</t>
  </si>
  <si>
    <t xml:space="preserve">YPF - Estaciones</t>
  </si>
  <si>
    <t xml:space="preserve">Gorra Con Respiración Azul Único</t>
  </si>
  <si>
    <t xml:space="preserve">Remera Dry-Fit Azul M</t>
  </si>
  <si>
    <t xml:space="preserve">2026-05-10</t>
  </si>
  <si>
    <t xml:space="preserve">Tienda Nube - Conferencia</t>
  </si>
  <si>
    <t xml:space="preserve">Taza Mágica Negro/Blanco Único</t>
  </si>
  <si>
    <t xml:space="preserve">2026-05-12</t>
  </si>
  <si>
    <t xml:space="preserve">Personal - Evento</t>
  </si>
  <si>
    <t xml:space="preserve">Campera Con Cierre Negro L</t>
  </si>
  <si>
    <t xml:space="preserve">2026-05-14</t>
  </si>
  <si>
    <t xml:space="preserve">Globant - Welcome Kit</t>
  </si>
  <si>
    <t xml:space="preserve">Llavero Acrílico Rectangular Transparente Único</t>
  </si>
  <si>
    <t xml:space="preserve">Buzo Cuello Redondo Gris M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</si>
</sst>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4" min="4" style="0" width="16"/>
    <col collapsed="false" customWidth="true" hidden="false" outlineLevel="0" max="5" min="5" style="0" width="8"/>
    <col collapsed="false" customWidth="true" hidden="false" outlineLevel="0" max="6" min="6" style="0" width="13"/>
    <col collapsed="false" customWidth="true" hidden="false" outlineLevel="0" max="7" min="7" style="0" width="11"/>
    <col collapsed="false" customWidth="true" hidden="false" outlineLevel="0" max="8" min="8" style="0" width="10"/>
    <col collapsed="false" customWidth="true" hidden="false" outlineLevel="0" max="9" min="9" style="0" width="13"/>
    <col collapsed="false" customWidth="true" hidden="false" outlineLevel="0" max="10" min="10" style="0" width="1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3" t="n">
        <v>80</v>
      </c>
      <c r="G2" s="3" t="n">
        <v>50</v>
      </c>
      <c r="H2" s="3" t="n">
        <f aca="false">SUMIF(Pedidos!C:C,A2,Pedidos!E:E)</f>
        <v>0</v>
      </c>
      <c r="I2" s="3" t="n">
        <f aca="false">F2+G2-H2</f>
        <v>130</v>
      </c>
      <c r="J2" s="3" t="str">
        <f aca="false">IF(I2&gt;0,"OK","COMPRAR")</f>
        <v>OK</v>
      </c>
    </row>
    <row r="3" customFormat="false" ht="15" hidden="false" customHeight="false" outlineLevel="0" collapsed="false">
      <c r="A3" s="2" t="s">
        <v>15</v>
      </c>
      <c r="B3" s="2" t="s">
        <v>11</v>
      </c>
      <c r="C3" s="2" t="s">
        <v>12</v>
      </c>
      <c r="D3" s="2" t="s">
        <v>13</v>
      </c>
      <c r="E3" s="2" t="s">
        <v>16</v>
      </c>
      <c r="F3" s="3" t="n">
        <v>100</v>
      </c>
      <c r="G3" s="3" t="n">
        <v>100</v>
      </c>
      <c r="H3" s="3" t="n">
        <f aca="false">SUMIF(Pedidos!C:C,A3,Pedidos!E:E)</f>
        <v>180</v>
      </c>
      <c r="I3" s="3" t="n">
        <f aca="false">F3+G3-H3</f>
        <v>20</v>
      </c>
      <c r="J3" s="3" t="str">
        <f aca="false">IF(I3&gt;0,"OK","COMPRAR")</f>
        <v>OK</v>
      </c>
    </row>
    <row r="4" customFormat="false" ht="15" hidden="false" customHeight="false" outlineLevel="0" collapsed="false">
      <c r="A4" s="2" t="s">
        <v>17</v>
      </c>
      <c r="B4" s="2" t="s">
        <v>11</v>
      </c>
      <c r="C4" s="2" t="s">
        <v>12</v>
      </c>
      <c r="D4" s="2" t="s">
        <v>13</v>
      </c>
      <c r="E4" s="2" t="s">
        <v>18</v>
      </c>
      <c r="F4" s="3" t="n">
        <v>80</v>
      </c>
      <c r="G4" s="3" t="n">
        <v>80</v>
      </c>
      <c r="H4" s="3" t="n">
        <f aca="false">SUMIF(Pedidos!C:C,A4,Pedidos!E:E)</f>
        <v>80</v>
      </c>
      <c r="I4" s="3" t="n">
        <f aca="false">F4+G4-H4</f>
        <v>80</v>
      </c>
      <c r="J4" s="3" t="str">
        <f aca="false">IF(I4&gt;0,"OK","COMPRAR")</f>
        <v>OK</v>
      </c>
    </row>
    <row r="5" customFormat="false" ht="15" hidden="false" customHeight="false" outlineLevel="0" collapsed="false">
      <c r="A5" s="2" t="s">
        <v>19</v>
      </c>
      <c r="B5" s="2" t="s">
        <v>11</v>
      </c>
      <c r="C5" s="2" t="s">
        <v>12</v>
      </c>
      <c r="D5" s="2" t="s">
        <v>13</v>
      </c>
      <c r="E5" s="2" t="s">
        <v>20</v>
      </c>
      <c r="F5" s="3" t="n">
        <v>50</v>
      </c>
      <c r="G5" s="3" t="n">
        <v>30</v>
      </c>
      <c r="H5" s="3" t="n">
        <f aca="false">SUMIF(Pedidos!C:C,A5,Pedidos!E:E)</f>
        <v>0</v>
      </c>
      <c r="I5" s="3" t="n">
        <f aca="false">F5+G5-H5</f>
        <v>80</v>
      </c>
      <c r="J5" s="3" t="str">
        <f aca="false">IF(I5&gt;0,"OK","COMPRAR")</f>
        <v>OK</v>
      </c>
    </row>
    <row r="6" customFormat="false" ht="15" hidden="false" customHeight="false" outlineLevel="0" collapsed="false">
      <c r="A6" s="2" t="s">
        <v>21</v>
      </c>
      <c r="B6" s="2" t="s">
        <v>11</v>
      </c>
      <c r="C6" s="2" t="s">
        <v>12</v>
      </c>
      <c r="D6" s="2" t="s">
        <v>22</v>
      </c>
      <c r="E6" s="2" t="s">
        <v>16</v>
      </c>
      <c r="F6" s="3" t="n">
        <v>60</v>
      </c>
      <c r="G6" s="3" t="n">
        <v>40</v>
      </c>
      <c r="H6" s="3" t="n">
        <f aca="false">SUMIF(Pedidos!C:C,A6,Pedidos!E:E)</f>
        <v>0</v>
      </c>
      <c r="I6" s="3" t="n">
        <f aca="false">F6+G6-H6</f>
        <v>100</v>
      </c>
      <c r="J6" s="3" t="str">
        <f aca="false">IF(I6&gt;0,"OK","COMPRAR")</f>
        <v>OK</v>
      </c>
    </row>
    <row r="7" customFormat="false" ht="15" hidden="false" customHeight="false" outlineLevel="0" collapsed="false">
      <c r="A7" s="2" t="s">
        <v>23</v>
      </c>
      <c r="B7" s="2" t="s">
        <v>11</v>
      </c>
      <c r="C7" s="2" t="s">
        <v>12</v>
      </c>
      <c r="D7" s="2" t="s">
        <v>22</v>
      </c>
      <c r="E7" s="2" t="s">
        <v>18</v>
      </c>
      <c r="F7" s="3" t="n">
        <v>40</v>
      </c>
      <c r="G7" s="3" t="n">
        <v>20</v>
      </c>
      <c r="H7" s="3" t="n">
        <f aca="false">SUMIF(Pedidos!C:C,A7,Pedidos!E:E)</f>
        <v>0</v>
      </c>
      <c r="I7" s="3" t="n">
        <f aca="false">F7+G7-H7</f>
        <v>60</v>
      </c>
      <c r="J7" s="3" t="str">
        <f aca="false">IF(I7&gt;0,"OK","COMPRAR")</f>
        <v>OK</v>
      </c>
    </row>
    <row r="8" customFormat="false" ht="15" hidden="false" customHeight="false" outlineLevel="0" collapsed="false">
      <c r="A8" s="2" t="s">
        <v>24</v>
      </c>
      <c r="B8" s="2" t="s">
        <v>11</v>
      </c>
      <c r="C8" s="2" t="s">
        <v>25</v>
      </c>
      <c r="D8" s="2" t="s">
        <v>22</v>
      </c>
      <c r="E8" s="2" t="s">
        <v>16</v>
      </c>
      <c r="F8" s="3" t="n">
        <v>30</v>
      </c>
      <c r="G8" s="3" t="n">
        <v>0</v>
      </c>
      <c r="H8" s="3" t="n">
        <f aca="false">SUMIF(Pedidos!C:C,A8,Pedidos!E:E)</f>
        <v>45</v>
      </c>
      <c r="I8" s="3" t="n">
        <f aca="false">F8+G8-H8</f>
        <v>-15</v>
      </c>
      <c r="J8" s="3" t="str">
        <f aca="false">IF(I8&gt;0,"OK","COMPRAR")</f>
        <v>COMPRAR</v>
      </c>
    </row>
    <row r="9" customFormat="false" ht="15" hidden="false" customHeight="false" outlineLevel="0" collapsed="false">
      <c r="A9" s="2" t="s">
        <v>26</v>
      </c>
      <c r="B9" s="2" t="s">
        <v>11</v>
      </c>
      <c r="C9" s="2" t="s">
        <v>25</v>
      </c>
      <c r="D9" s="2" t="s">
        <v>22</v>
      </c>
      <c r="E9" s="2" t="s">
        <v>18</v>
      </c>
      <c r="F9" s="3" t="n">
        <v>25</v>
      </c>
      <c r="G9" s="3" t="n">
        <v>0</v>
      </c>
      <c r="H9" s="3" t="n">
        <f aca="false">SUMIF(Pedidos!C:C,A9,Pedidos!E:E)</f>
        <v>35</v>
      </c>
      <c r="I9" s="3" t="n">
        <f aca="false">F9+G9-H9</f>
        <v>-10</v>
      </c>
      <c r="J9" s="3" t="str">
        <f aca="false">IF(I9&gt;0,"OK","COMPRAR")</f>
        <v>COMPRAR</v>
      </c>
    </row>
    <row r="10" customFormat="false" ht="15" hidden="false" customHeight="false" outlineLevel="0" collapsed="false">
      <c r="A10" s="2" t="s">
        <v>27</v>
      </c>
      <c r="B10" s="2" t="s">
        <v>11</v>
      </c>
      <c r="C10" s="2" t="s">
        <v>25</v>
      </c>
      <c r="D10" s="2" t="s">
        <v>28</v>
      </c>
      <c r="E10" s="2" t="s">
        <v>16</v>
      </c>
      <c r="F10" s="3" t="n">
        <v>20</v>
      </c>
      <c r="G10" s="3" t="n">
        <v>30</v>
      </c>
      <c r="H10" s="3" t="n">
        <f aca="false">SUMIF(Pedidos!C:C,A10,Pedidos!E:E)</f>
        <v>25</v>
      </c>
      <c r="I10" s="3" t="n">
        <f aca="false">F10+G10-H10</f>
        <v>25</v>
      </c>
      <c r="J10" s="3" t="str">
        <f aca="false">IF(I10&gt;0,"OK","COMPRAR")</f>
        <v>OK</v>
      </c>
    </row>
    <row r="11" customFormat="false" ht="15" hidden="false" customHeight="false" outlineLevel="0" collapsed="false">
      <c r="A11" s="2" t="s">
        <v>29</v>
      </c>
      <c r="B11" s="2" t="s">
        <v>11</v>
      </c>
      <c r="C11" s="2" t="s">
        <v>25</v>
      </c>
      <c r="D11" s="2" t="s">
        <v>28</v>
      </c>
      <c r="E11" s="2" t="s">
        <v>18</v>
      </c>
      <c r="F11" s="3" t="n">
        <v>15</v>
      </c>
      <c r="G11" s="3" t="n">
        <v>20</v>
      </c>
      <c r="H11" s="3" t="n">
        <f aca="false">SUMIF(Pedidos!C:C,A11,Pedidos!E:E)</f>
        <v>0</v>
      </c>
      <c r="I11" s="3" t="n">
        <f aca="false">F11+G11-H11</f>
        <v>35</v>
      </c>
      <c r="J11" s="3" t="str">
        <f aca="false">IF(I11&gt;0,"OK","COMPRAR")</f>
        <v>OK</v>
      </c>
    </row>
    <row r="12" customFormat="false" ht="15" hidden="false" customHeight="false" outlineLevel="0" collapsed="false">
      <c r="A12" s="2" t="s">
        <v>30</v>
      </c>
      <c r="B12" s="2" t="s">
        <v>11</v>
      </c>
      <c r="C12" s="2" t="s">
        <v>25</v>
      </c>
      <c r="D12" s="2" t="s">
        <v>31</v>
      </c>
      <c r="E12" s="2" t="s">
        <v>16</v>
      </c>
      <c r="F12" s="3" t="n">
        <v>10</v>
      </c>
      <c r="G12" s="3" t="n">
        <v>0</v>
      </c>
      <c r="H12" s="3" t="n">
        <f aca="false">SUMIF(Pedidos!C:C,A12,Pedidos!E:E)</f>
        <v>0</v>
      </c>
      <c r="I12" s="3" t="n">
        <f aca="false">F12+G12-H12</f>
        <v>10</v>
      </c>
      <c r="J12" s="3" t="str">
        <f aca="false">IF(I12&gt;0,"OK","COMPRAR")</f>
        <v>OK</v>
      </c>
    </row>
    <row r="13" customFormat="false" ht="15" hidden="false" customHeight="false" outlineLevel="0" collapsed="false">
      <c r="A13" s="2" t="s">
        <v>32</v>
      </c>
      <c r="B13" s="2" t="s">
        <v>33</v>
      </c>
      <c r="C13" s="2" t="s">
        <v>34</v>
      </c>
      <c r="D13" s="2" t="s">
        <v>35</v>
      </c>
      <c r="E13" s="2" t="s">
        <v>16</v>
      </c>
      <c r="F13" s="3" t="n">
        <v>40</v>
      </c>
      <c r="G13" s="3" t="n">
        <v>30</v>
      </c>
      <c r="H13" s="3" t="n">
        <f aca="false">SUMIF(Pedidos!C:C,A13,Pedidos!E:E)</f>
        <v>0</v>
      </c>
      <c r="I13" s="3" t="n">
        <f aca="false">F13+G13-H13</f>
        <v>70</v>
      </c>
      <c r="J13" s="3" t="str">
        <f aca="false">IF(I13&gt;0,"OK","COMPRAR")</f>
        <v>OK</v>
      </c>
    </row>
    <row r="14" customFormat="false" ht="15" hidden="false" customHeight="false" outlineLevel="0" collapsed="false">
      <c r="A14" s="2" t="s">
        <v>36</v>
      </c>
      <c r="B14" s="2" t="s">
        <v>33</v>
      </c>
      <c r="C14" s="2" t="s">
        <v>34</v>
      </c>
      <c r="D14" s="2" t="s">
        <v>35</v>
      </c>
      <c r="E14" s="2" t="s">
        <v>18</v>
      </c>
      <c r="F14" s="3" t="n">
        <v>50</v>
      </c>
      <c r="G14" s="3" t="n">
        <v>50</v>
      </c>
      <c r="H14" s="3" t="n">
        <f aca="false">SUMIF(Pedidos!C:C,A14,Pedidos!E:E)</f>
        <v>70</v>
      </c>
      <c r="I14" s="3" t="n">
        <f aca="false">F14+G14-H14</f>
        <v>30</v>
      </c>
      <c r="J14" s="3" t="str">
        <f aca="false">IF(I14&gt;0,"OK","COMPRAR")</f>
        <v>OK</v>
      </c>
    </row>
    <row r="15" customFormat="false" ht="15" hidden="false" customHeight="false" outlineLevel="0" collapsed="false">
      <c r="A15" s="2" t="s">
        <v>37</v>
      </c>
      <c r="B15" s="2" t="s">
        <v>33</v>
      </c>
      <c r="C15" s="2" t="s">
        <v>34</v>
      </c>
      <c r="D15" s="2" t="s">
        <v>35</v>
      </c>
      <c r="E15" s="2" t="s">
        <v>20</v>
      </c>
      <c r="F15" s="3" t="n">
        <v>30</v>
      </c>
      <c r="G15" s="3" t="n">
        <v>20</v>
      </c>
      <c r="H15" s="3" t="n">
        <f aca="false">SUMIF(Pedidos!C:C,A15,Pedidos!E:E)</f>
        <v>30</v>
      </c>
      <c r="I15" s="3" t="n">
        <f aca="false">F15+G15-H15</f>
        <v>20</v>
      </c>
      <c r="J15" s="3" t="str">
        <f aca="false">IF(I15&gt;0,"OK","COMPRAR")</f>
        <v>OK</v>
      </c>
    </row>
    <row r="16" customFormat="false" ht="15" hidden="false" customHeight="false" outlineLevel="0" collapsed="false">
      <c r="A16" s="2" t="s">
        <v>38</v>
      </c>
      <c r="B16" s="2" t="s">
        <v>33</v>
      </c>
      <c r="C16" s="2" t="s">
        <v>34</v>
      </c>
      <c r="D16" s="2" t="s">
        <v>22</v>
      </c>
      <c r="E16" s="2" t="s">
        <v>16</v>
      </c>
      <c r="F16" s="3" t="n">
        <v>35</v>
      </c>
      <c r="G16" s="3" t="n">
        <v>25</v>
      </c>
      <c r="H16" s="3" t="n">
        <f aca="false">SUMIF(Pedidos!C:C,A16,Pedidos!E:E)</f>
        <v>40</v>
      </c>
      <c r="I16" s="3" t="n">
        <f aca="false">F16+G16-H16</f>
        <v>20</v>
      </c>
      <c r="J16" s="3" t="str">
        <f aca="false">IF(I16&gt;0,"OK","COMPRAR")</f>
        <v>OK</v>
      </c>
    </row>
    <row r="17" customFormat="false" ht="15" hidden="false" customHeight="false" outlineLevel="0" collapsed="false">
      <c r="A17" s="2" t="s">
        <v>39</v>
      </c>
      <c r="B17" s="2" t="s">
        <v>33</v>
      </c>
      <c r="C17" s="2" t="s">
        <v>34</v>
      </c>
      <c r="D17" s="2" t="s">
        <v>22</v>
      </c>
      <c r="E17" s="2" t="s">
        <v>18</v>
      </c>
      <c r="F17" s="3" t="n">
        <v>45</v>
      </c>
      <c r="G17" s="3" t="n">
        <v>30</v>
      </c>
      <c r="H17" s="3" t="n">
        <f aca="false">SUMIF(Pedidos!C:C,A17,Pedidos!E:E)</f>
        <v>50</v>
      </c>
      <c r="I17" s="3" t="n">
        <f aca="false">F17+G17-H17</f>
        <v>25</v>
      </c>
      <c r="J17" s="3" t="str">
        <f aca="false">IF(I17&gt;0,"OK","COMPRAR")</f>
        <v>OK</v>
      </c>
    </row>
    <row r="18" customFormat="false" ht="15" hidden="false" customHeight="false" outlineLevel="0" collapsed="false">
      <c r="A18" s="2" t="s">
        <v>40</v>
      </c>
      <c r="B18" s="2" t="s">
        <v>33</v>
      </c>
      <c r="C18" s="2" t="s">
        <v>34</v>
      </c>
      <c r="D18" s="2" t="s">
        <v>22</v>
      </c>
      <c r="E18" s="2" t="s">
        <v>20</v>
      </c>
      <c r="F18" s="3" t="n">
        <v>20</v>
      </c>
      <c r="G18" s="3" t="n">
        <v>15</v>
      </c>
      <c r="H18" s="3" t="n">
        <f aca="false">SUMIF(Pedidos!C:C,A18,Pedidos!E:E)</f>
        <v>0</v>
      </c>
      <c r="I18" s="3" t="n">
        <f aca="false">F18+G18-H18</f>
        <v>35</v>
      </c>
      <c r="J18" s="3" t="str">
        <f aca="false">IF(I18&gt;0,"OK","COMPRAR")</f>
        <v>OK</v>
      </c>
    </row>
    <row r="19" customFormat="false" ht="15" hidden="false" customHeight="false" outlineLevel="0" collapsed="false">
      <c r="A19" s="2" t="s">
        <v>41</v>
      </c>
      <c r="B19" s="2" t="s">
        <v>33</v>
      </c>
      <c r="C19" s="2" t="s">
        <v>34</v>
      </c>
      <c r="D19" s="2" t="s">
        <v>42</v>
      </c>
      <c r="E19" s="2" t="s">
        <v>18</v>
      </c>
      <c r="F19" s="3" t="n">
        <v>15</v>
      </c>
      <c r="G19" s="3" t="n">
        <v>0</v>
      </c>
      <c r="H19" s="3" t="n">
        <f aca="false">SUMIF(Pedidos!C:C,A19,Pedidos!E:E)</f>
        <v>0</v>
      </c>
      <c r="I19" s="3" t="n">
        <f aca="false">F19+G19-H19</f>
        <v>15</v>
      </c>
      <c r="J19" s="3" t="str">
        <f aca="false">IF(I19&gt;0,"OK","COMPRAR")</f>
        <v>OK</v>
      </c>
    </row>
    <row r="20" customFormat="false" ht="15" hidden="false" customHeight="false" outlineLevel="0" collapsed="false">
      <c r="A20" s="2" t="s">
        <v>43</v>
      </c>
      <c r="B20" s="2" t="s">
        <v>33</v>
      </c>
      <c r="C20" s="2" t="s">
        <v>12</v>
      </c>
      <c r="D20" s="2" t="s">
        <v>35</v>
      </c>
      <c r="E20" s="2" t="s">
        <v>16</v>
      </c>
      <c r="F20" s="3" t="n">
        <v>25</v>
      </c>
      <c r="G20" s="3" t="n">
        <v>0</v>
      </c>
      <c r="H20" s="3" t="n">
        <f aca="false">SUMIF(Pedidos!C:C,A20,Pedidos!E:E)</f>
        <v>30</v>
      </c>
      <c r="I20" s="3" t="n">
        <f aca="false">F20+G20-H20</f>
        <v>-5</v>
      </c>
      <c r="J20" s="3" t="str">
        <f aca="false">IF(I20&gt;0,"OK","COMPRAR")</f>
        <v>COMPRAR</v>
      </c>
    </row>
    <row r="21" customFormat="false" ht="15" hidden="false" customHeight="false" outlineLevel="0" collapsed="false">
      <c r="A21" s="2" t="s">
        <v>44</v>
      </c>
      <c r="B21" s="2" t="s">
        <v>33</v>
      </c>
      <c r="C21" s="2" t="s">
        <v>12</v>
      </c>
      <c r="D21" s="2" t="s">
        <v>35</v>
      </c>
      <c r="E21" s="2" t="s">
        <v>18</v>
      </c>
      <c r="F21" s="3" t="n">
        <v>30</v>
      </c>
      <c r="G21" s="3" t="n">
        <v>20</v>
      </c>
      <c r="H21" s="3" t="n">
        <f aca="false">SUMIF(Pedidos!C:C,A21,Pedidos!E:E)</f>
        <v>0</v>
      </c>
      <c r="I21" s="3" t="n">
        <f aca="false">F21+G21-H21</f>
        <v>50</v>
      </c>
      <c r="J21" s="3" t="str">
        <f aca="false">IF(I21&gt;0,"OK","COMPRAR")</f>
        <v>OK</v>
      </c>
    </row>
    <row r="22" customFormat="false" ht="15" hidden="false" customHeight="false" outlineLevel="0" collapsed="false">
      <c r="A22" s="2" t="s">
        <v>45</v>
      </c>
      <c r="B22" s="2" t="s">
        <v>33</v>
      </c>
      <c r="C22" s="2" t="s">
        <v>12</v>
      </c>
      <c r="D22" s="2" t="s">
        <v>22</v>
      </c>
      <c r="E22" s="2" t="s">
        <v>16</v>
      </c>
      <c r="F22" s="3" t="n">
        <v>20</v>
      </c>
      <c r="G22" s="3" t="n">
        <v>10</v>
      </c>
      <c r="H22" s="3" t="n">
        <f aca="false">SUMIF(Pedidos!C:C,A22,Pedidos!E:E)</f>
        <v>0</v>
      </c>
      <c r="I22" s="3" t="n">
        <f aca="false">F22+G22-H22</f>
        <v>30</v>
      </c>
      <c r="J22" s="3" t="str">
        <f aca="false">IF(I22&gt;0,"OK","COMPRAR")</f>
        <v>OK</v>
      </c>
    </row>
    <row r="23" customFormat="false" ht="15" hidden="false" customHeight="false" outlineLevel="0" collapsed="false">
      <c r="A23" s="2" t="s">
        <v>46</v>
      </c>
      <c r="B23" s="2" t="s">
        <v>47</v>
      </c>
      <c r="C23" s="2" t="s">
        <v>48</v>
      </c>
      <c r="D23" s="2" t="s">
        <v>22</v>
      </c>
      <c r="E23" s="2" t="s">
        <v>16</v>
      </c>
      <c r="F23" s="3" t="n">
        <v>18</v>
      </c>
      <c r="G23" s="3" t="n">
        <v>12</v>
      </c>
      <c r="H23" s="3" t="n">
        <f aca="false">SUMIF(Pedidos!C:C,A23,Pedidos!E:E)</f>
        <v>0</v>
      </c>
      <c r="I23" s="3" t="n">
        <f aca="false">F23+G23-H23</f>
        <v>30</v>
      </c>
      <c r="J23" s="3" t="str">
        <f aca="false">IF(I23&gt;0,"OK","COMPRAR")</f>
        <v>OK</v>
      </c>
    </row>
    <row r="24" customFormat="false" ht="15" hidden="false" customHeight="false" outlineLevel="0" collapsed="false">
      <c r="A24" s="2" t="s">
        <v>49</v>
      </c>
      <c r="B24" s="2" t="s">
        <v>47</v>
      </c>
      <c r="C24" s="2" t="s">
        <v>48</v>
      </c>
      <c r="D24" s="2" t="s">
        <v>22</v>
      </c>
      <c r="E24" s="2" t="s">
        <v>18</v>
      </c>
      <c r="F24" s="3" t="n">
        <v>20</v>
      </c>
      <c r="G24" s="3" t="n">
        <v>10</v>
      </c>
      <c r="H24" s="3" t="n">
        <f aca="false">SUMIF(Pedidos!C:C,A24,Pedidos!E:E)</f>
        <v>18</v>
      </c>
      <c r="I24" s="3" t="n">
        <f aca="false">F24+G24-H24</f>
        <v>12</v>
      </c>
      <c r="J24" s="3" t="str">
        <f aca="false">IF(I24&gt;0,"OK","COMPRAR")</f>
        <v>OK</v>
      </c>
    </row>
    <row r="25" customFormat="false" ht="15" hidden="false" customHeight="false" outlineLevel="0" collapsed="false">
      <c r="A25" s="2" t="s">
        <v>50</v>
      </c>
      <c r="B25" s="2" t="s">
        <v>47</v>
      </c>
      <c r="C25" s="2" t="s">
        <v>48</v>
      </c>
      <c r="D25" s="2" t="s">
        <v>28</v>
      </c>
      <c r="E25" s="2" t="s">
        <v>18</v>
      </c>
      <c r="F25" s="3" t="n">
        <v>12</v>
      </c>
      <c r="G25" s="3" t="n">
        <v>8</v>
      </c>
      <c r="H25" s="3" t="n">
        <f aca="false">SUMIF(Pedidos!C:C,A25,Pedidos!E:E)</f>
        <v>0</v>
      </c>
      <c r="I25" s="3" t="n">
        <f aca="false">F25+G25-H25</f>
        <v>20</v>
      </c>
      <c r="J25" s="3" t="str">
        <f aca="false">IF(I25&gt;0,"OK","COMPRAR")</f>
        <v>OK</v>
      </c>
    </row>
    <row r="26" customFormat="false" ht="15" hidden="false" customHeight="false" outlineLevel="0" collapsed="false">
      <c r="A26" s="2" t="s">
        <v>51</v>
      </c>
      <c r="B26" s="2" t="s">
        <v>52</v>
      </c>
      <c r="C26" s="2" t="s">
        <v>53</v>
      </c>
      <c r="D26" s="2" t="s">
        <v>13</v>
      </c>
      <c r="E26" s="2" t="s">
        <v>16</v>
      </c>
      <c r="F26" s="3" t="n">
        <v>25</v>
      </c>
      <c r="G26" s="3" t="n">
        <v>25</v>
      </c>
      <c r="H26" s="3" t="n">
        <f aca="false">SUMIF(Pedidos!C:C,A26,Pedidos!E:E)</f>
        <v>30</v>
      </c>
      <c r="I26" s="3" t="n">
        <f aca="false">F26+G26-H26</f>
        <v>20</v>
      </c>
      <c r="J26" s="3" t="str">
        <f aca="false">IF(I26&gt;0,"OK","COMPRAR")</f>
        <v>OK</v>
      </c>
    </row>
    <row r="27" customFormat="false" ht="15" hidden="false" customHeight="false" outlineLevel="0" collapsed="false">
      <c r="A27" s="2" t="s">
        <v>54</v>
      </c>
      <c r="B27" s="2" t="s">
        <v>52</v>
      </c>
      <c r="C27" s="2" t="s">
        <v>53</v>
      </c>
      <c r="D27" s="2" t="s">
        <v>13</v>
      </c>
      <c r="E27" s="2" t="s">
        <v>18</v>
      </c>
      <c r="F27" s="3" t="n">
        <v>30</v>
      </c>
      <c r="G27" s="3" t="n">
        <v>30</v>
      </c>
      <c r="H27" s="3" t="n">
        <f aca="false">SUMIF(Pedidos!C:C,A27,Pedidos!E:E)</f>
        <v>40</v>
      </c>
      <c r="I27" s="3" t="n">
        <f aca="false">F27+G27-H27</f>
        <v>20</v>
      </c>
      <c r="J27" s="3" t="str">
        <f aca="false">IF(I27&gt;0,"OK","COMPRAR")</f>
        <v>OK</v>
      </c>
    </row>
    <row r="28" customFormat="false" ht="15" hidden="false" customHeight="false" outlineLevel="0" collapsed="false">
      <c r="A28" s="2" t="s">
        <v>55</v>
      </c>
      <c r="B28" s="2" t="s">
        <v>52</v>
      </c>
      <c r="C28" s="2" t="s">
        <v>53</v>
      </c>
      <c r="D28" s="2" t="s">
        <v>56</v>
      </c>
      <c r="E28" s="2" t="s">
        <v>18</v>
      </c>
      <c r="F28" s="3" t="n">
        <v>20</v>
      </c>
      <c r="G28" s="3" t="n">
        <v>15</v>
      </c>
      <c r="H28" s="3" t="n">
        <f aca="false">SUMIF(Pedidos!C:C,A28,Pedidos!E:E)</f>
        <v>0</v>
      </c>
      <c r="I28" s="3" t="n">
        <f aca="false">F28+G28-H28</f>
        <v>35</v>
      </c>
      <c r="J28" s="3" t="str">
        <f aca="false">IF(I28&gt;0,"OK","COMPRAR")</f>
        <v>OK</v>
      </c>
    </row>
    <row r="29" customFormat="false" ht="15" hidden="false" customHeight="false" outlineLevel="0" collapsed="false">
      <c r="A29" s="2" t="s">
        <v>57</v>
      </c>
      <c r="B29" s="2" t="s">
        <v>52</v>
      </c>
      <c r="C29" s="2" t="s">
        <v>53</v>
      </c>
      <c r="D29" s="2" t="s">
        <v>22</v>
      </c>
      <c r="E29" s="2" t="s">
        <v>16</v>
      </c>
      <c r="F29" s="3" t="n">
        <v>18</v>
      </c>
      <c r="G29" s="3" t="n">
        <v>12</v>
      </c>
      <c r="H29" s="3" t="n">
        <f aca="false">SUMIF(Pedidos!C:C,A29,Pedidos!E:E)</f>
        <v>0</v>
      </c>
      <c r="I29" s="3" t="n">
        <f aca="false">F29+G29-H29</f>
        <v>30</v>
      </c>
      <c r="J29" s="3" t="str">
        <f aca="false">IF(I29&gt;0,"OK","COMPRAR")</f>
        <v>OK</v>
      </c>
    </row>
    <row r="30" customFormat="false" ht="15" hidden="false" customHeight="false" outlineLevel="0" collapsed="false">
      <c r="A30" s="2" t="s">
        <v>58</v>
      </c>
      <c r="B30" s="2" t="s">
        <v>59</v>
      </c>
      <c r="C30" s="2" t="s">
        <v>60</v>
      </c>
      <c r="D30" s="2" t="s">
        <v>22</v>
      </c>
      <c r="E30" s="2" t="s">
        <v>61</v>
      </c>
      <c r="F30" s="3" t="n">
        <v>60</v>
      </c>
      <c r="G30" s="3" t="n">
        <v>40</v>
      </c>
      <c r="H30" s="3" t="n">
        <f aca="false">SUMIF(Pedidos!C:C,A30,Pedidos!E:E)</f>
        <v>0</v>
      </c>
      <c r="I30" s="3" t="n">
        <f aca="false">F30+G30-H30</f>
        <v>100</v>
      </c>
      <c r="J30" s="3" t="str">
        <f aca="false">IF(I30&gt;0,"OK","COMPRAR")</f>
        <v>OK</v>
      </c>
    </row>
    <row r="31" customFormat="false" ht="15" hidden="false" customHeight="false" outlineLevel="0" collapsed="false">
      <c r="A31" s="2" t="s">
        <v>62</v>
      </c>
      <c r="B31" s="2" t="s">
        <v>59</v>
      </c>
      <c r="C31" s="2" t="s">
        <v>60</v>
      </c>
      <c r="D31" s="2" t="s">
        <v>13</v>
      </c>
      <c r="E31" s="2" t="s">
        <v>61</v>
      </c>
      <c r="F31" s="3" t="n">
        <v>50</v>
      </c>
      <c r="G31" s="3" t="n">
        <v>30</v>
      </c>
      <c r="H31" s="3" t="n">
        <f aca="false">SUMIF(Pedidos!C:C,A31,Pedidos!E:E)</f>
        <v>0</v>
      </c>
      <c r="I31" s="3" t="n">
        <f aca="false">F31+G31-H31</f>
        <v>80</v>
      </c>
      <c r="J31" s="3" t="str">
        <f aca="false">IF(I31&gt;0,"OK","COMPRAR")</f>
        <v>OK</v>
      </c>
    </row>
    <row r="32" customFormat="false" ht="15" hidden="false" customHeight="false" outlineLevel="0" collapsed="false">
      <c r="A32" s="2" t="s">
        <v>63</v>
      </c>
      <c r="B32" s="2" t="s">
        <v>59</v>
      </c>
      <c r="C32" s="2" t="s">
        <v>60</v>
      </c>
      <c r="D32" s="2" t="s">
        <v>28</v>
      </c>
      <c r="E32" s="2" t="s">
        <v>61</v>
      </c>
      <c r="F32" s="3" t="n">
        <v>40</v>
      </c>
      <c r="G32" s="3" t="n">
        <v>20</v>
      </c>
      <c r="H32" s="3" t="n">
        <f aca="false">SUMIF(Pedidos!C:C,A32,Pedidos!E:E)</f>
        <v>50</v>
      </c>
      <c r="I32" s="3" t="n">
        <f aca="false">F32+G32-H32</f>
        <v>10</v>
      </c>
      <c r="J32" s="3" t="str">
        <f aca="false">IF(I32&gt;0,"OK","COMPRAR")</f>
        <v>OK</v>
      </c>
    </row>
    <row r="33" customFormat="false" ht="15" hidden="false" customHeight="false" outlineLevel="0" collapsed="false">
      <c r="A33" s="2" t="s">
        <v>64</v>
      </c>
      <c r="B33" s="2" t="s">
        <v>59</v>
      </c>
      <c r="C33" s="2" t="s">
        <v>60</v>
      </c>
      <c r="D33" s="2" t="s">
        <v>31</v>
      </c>
      <c r="E33" s="2" t="s">
        <v>61</v>
      </c>
      <c r="F33" s="3" t="n">
        <v>20</v>
      </c>
      <c r="G33" s="3" t="n">
        <v>0</v>
      </c>
      <c r="H33" s="3" t="n">
        <f aca="false">SUMIF(Pedidos!C:C,A33,Pedidos!E:E)</f>
        <v>40</v>
      </c>
      <c r="I33" s="3" t="n">
        <f aca="false">F33+G33-H33</f>
        <v>-20</v>
      </c>
      <c r="J33" s="3" t="str">
        <f aca="false">IF(I33&gt;0,"OK","COMPRAR")</f>
        <v>COMPRAR</v>
      </c>
    </row>
    <row r="34" customFormat="false" ht="15" hidden="false" customHeight="false" outlineLevel="0" collapsed="false">
      <c r="A34" s="2" t="s">
        <v>65</v>
      </c>
      <c r="B34" s="2" t="s">
        <v>66</v>
      </c>
      <c r="C34" s="2" t="s">
        <v>67</v>
      </c>
      <c r="D34" s="2" t="s">
        <v>13</v>
      </c>
      <c r="E34" s="2" t="s">
        <v>61</v>
      </c>
      <c r="F34" s="3" t="n">
        <v>200</v>
      </c>
      <c r="G34" s="3" t="n">
        <v>150</v>
      </c>
      <c r="H34" s="3" t="n">
        <f aca="false">SUMIF(Pedidos!C:C,A34,Pedidos!E:E)</f>
        <v>280</v>
      </c>
      <c r="I34" s="3" t="n">
        <f aca="false">F34+G34-H34</f>
        <v>70</v>
      </c>
      <c r="J34" s="3" t="str">
        <f aca="false">IF(I34&gt;0,"OK","COMPRAR")</f>
        <v>OK</v>
      </c>
    </row>
    <row r="35" customFormat="false" ht="15" hidden="false" customHeight="false" outlineLevel="0" collapsed="false">
      <c r="A35" s="2" t="s">
        <v>68</v>
      </c>
      <c r="B35" s="2" t="s">
        <v>66</v>
      </c>
      <c r="C35" s="2" t="s">
        <v>69</v>
      </c>
      <c r="D35" s="2" t="s">
        <v>22</v>
      </c>
      <c r="E35" s="2" t="s">
        <v>61</v>
      </c>
      <c r="F35" s="3" t="n">
        <v>80</v>
      </c>
      <c r="G35" s="3" t="n">
        <v>50</v>
      </c>
      <c r="H35" s="3" t="n">
        <f aca="false">SUMIF(Pedidos!C:C,A35,Pedidos!E:E)</f>
        <v>0</v>
      </c>
      <c r="I35" s="3" t="n">
        <f aca="false">F35+G35-H35</f>
        <v>130</v>
      </c>
      <c r="J35" s="3" t="str">
        <f aca="false">IF(I35&gt;0,"OK","COMPRAR")</f>
        <v>OK</v>
      </c>
    </row>
    <row r="36" customFormat="false" ht="15" hidden="false" customHeight="false" outlineLevel="0" collapsed="false">
      <c r="A36" s="2" t="s">
        <v>70</v>
      </c>
      <c r="B36" s="2" t="s">
        <v>66</v>
      </c>
      <c r="C36" s="2" t="s">
        <v>71</v>
      </c>
      <c r="D36" s="2" t="s">
        <v>72</v>
      </c>
      <c r="E36" s="2" t="s">
        <v>61</v>
      </c>
      <c r="F36" s="3" t="n">
        <v>50</v>
      </c>
      <c r="G36" s="3" t="n">
        <v>0</v>
      </c>
      <c r="H36" s="3" t="n">
        <f aca="false">SUMIF(Pedidos!C:C,A36,Pedidos!E:E)</f>
        <v>60</v>
      </c>
      <c r="I36" s="3" t="n">
        <f aca="false">F36+G36-H36</f>
        <v>-10</v>
      </c>
      <c r="J36" s="3" t="str">
        <f aca="false">IF(I36&gt;0,"OK","COMPRAR")</f>
        <v>COMPRAR</v>
      </c>
    </row>
    <row r="37" customFormat="false" ht="15" hidden="false" customHeight="false" outlineLevel="0" collapsed="false">
      <c r="A37" s="2" t="s">
        <v>73</v>
      </c>
      <c r="B37" s="2" t="s">
        <v>74</v>
      </c>
      <c r="C37" s="2" t="s">
        <v>75</v>
      </c>
      <c r="D37" s="2" t="s">
        <v>76</v>
      </c>
      <c r="E37" s="2" t="s">
        <v>61</v>
      </c>
      <c r="F37" s="3" t="n">
        <v>300</v>
      </c>
      <c r="G37" s="3" t="n">
        <v>200</v>
      </c>
      <c r="H37" s="3" t="n">
        <f aca="false">SUMIF(Pedidos!C:C,A37,Pedidos!E:E)</f>
        <v>300</v>
      </c>
      <c r="I37" s="3" t="n">
        <f aca="false">F37+G37-H37</f>
        <v>200</v>
      </c>
      <c r="J37" s="3" t="str">
        <f aca="false">IF(I37&gt;0,"OK","COMPRAR")</f>
        <v>OK</v>
      </c>
    </row>
    <row r="38" customFormat="false" ht="15" hidden="false" customHeight="false" outlineLevel="0" collapsed="false">
      <c r="A38" s="2" t="s">
        <v>77</v>
      </c>
      <c r="B38" s="2" t="s">
        <v>74</v>
      </c>
      <c r="C38" s="2" t="s">
        <v>78</v>
      </c>
      <c r="D38" s="2" t="s">
        <v>76</v>
      </c>
      <c r="E38" s="2" t="s">
        <v>61</v>
      </c>
      <c r="F38" s="3" t="n">
        <v>250</v>
      </c>
      <c r="G38" s="3" t="n">
        <v>150</v>
      </c>
      <c r="H38" s="3" t="n">
        <f aca="false">SUMIF(Pedidos!C:C,A38,Pedidos!E:E)</f>
        <v>200</v>
      </c>
      <c r="I38" s="3" t="n">
        <f aca="false">F38+G38-H38</f>
        <v>200</v>
      </c>
      <c r="J38" s="3" t="str">
        <f aca="false">IF(I38&gt;0,"OK","COMPRAR")</f>
        <v>OK</v>
      </c>
    </row>
  </sheetData>
  <conditionalFormatting sqref="I2:I38">
    <cfRule type="cellIs" priority="2" operator="lessThan" aboveAverage="0" equalAverage="0" bottom="0" percent="0" rank="0" text="" dxfId="0">
      <formula>0</formula>
    </cfRule>
    <cfRule type="cellIs" priority="3" operator="equal" aboveAverage="0" equalAverage="0" bottom="0" percent="0" rank="0" text="" dxfId="1">
      <formula>0</formula>
    </cfRule>
    <cfRule type="cellIs" priority="4" operator="greaterThan" aboveAverage="0" equalAverage="0" bottom="0" percent="0" rank="0" text="" dxfId="2">
      <formula>0</formula>
    </cfRule>
  </conditionalFormatting>
  <conditionalFormatting sqref="J2:J38">
    <cfRule type="expression" priority="5" aboveAverage="0" equalAverage="0" bottom="0" percent="0" rank="0" text="" dxfId="0">
      <formula>J2="COMPRAR"</formula>
    </cfRule>
    <cfRule type="expression" priority="6" aboveAverage="0" equalAverage="0" bottom="0" percent="0" rank="0" text="" dxfId="2">
      <formula>J2="OK"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2"/>
    <col collapsed="false" customWidth="true" hidden="false" outlineLevel="0" max="3" min="3" style="0" width="16"/>
    <col collapsed="false" customWidth="true" hidden="false" outlineLevel="0" max="4" min="4" style="0" width="38"/>
    <col collapsed="false" customWidth="true" hidden="false" outlineLevel="0" max="5" min="5" style="0" width="10"/>
  </cols>
  <sheetData>
    <row r="1" customFormat="false" ht="15" hidden="false" customHeight="false" outlineLevel="0" collapsed="false">
      <c r="A1" s="1" t="s">
        <v>79</v>
      </c>
      <c r="B1" s="1" t="s">
        <v>80</v>
      </c>
      <c r="C1" s="1" t="s">
        <v>0</v>
      </c>
      <c r="D1" s="1" t="s">
        <v>1</v>
      </c>
      <c r="E1" s="1" t="s">
        <v>81</v>
      </c>
    </row>
    <row r="2" customFormat="false" ht="15" hidden="false" customHeight="false" outlineLevel="0" collapsed="false">
      <c r="A2" s="2" t="s">
        <v>82</v>
      </c>
      <c r="B2" s="2" t="s">
        <v>83</v>
      </c>
      <c r="C2" s="2" t="s">
        <v>15</v>
      </c>
      <c r="D2" s="2" t="s">
        <v>84</v>
      </c>
      <c r="E2" s="3" t="n">
        <v>120</v>
      </c>
    </row>
    <row r="3" customFormat="false" ht="15" hidden="false" customHeight="false" outlineLevel="0" collapsed="false">
      <c r="A3" s="2" t="s">
        <v>82</v>
      </c>
      <c r="B3" s="2" t="s">
        <v>83</v>
      </c>
      <c r="C3" s="2" t="s">
        <v>17</v>
      </c>
      <c r="D3" s="2" t="s">
        <v>85</v>
      </c>
      <c r="E3" s="3" t="n">
        <v>80</v>
      </c>
    </row>
    <row r="4" customFormat="false" ht="15" hidden="false" customHeight="false" outlineLevel="0" collapsed="false">
      <c r="A4" s="2" t="s">
        <v>82</v>
      </c>
      <c r="B4" s="2" t="s">
        <v>83</v>
      </c>
      <c r="C4" s="2" t="s">
        <v>64</v>
      </c>
      <c r="D4" s="2" t="s">
        <v>86</v>
      </c>
      <c r="E4" s="3" t="n">
        <v>40</v>
      </c>
    </row>
    <row r="5" customFormat="false" ht="15" hidden="false" customHeight="false" outlineLevel="0" collapsed="false">
      <c r="A5" s="2" t="s">
        <v>87</v>
      </c>
      <c r="B5" s="2" t="s">
        <v>88</v>
      </c>
      <c r="C5" s="2" t="s">
        <v>15</v>
      </c>
      <c r="D5" s="2" t="s">
        <v>84</v>
      </c>
      <c r="E5" s="3" t="n">
        <v>60</v>
      </c>
    </row>
    <row r="6" customFormat="false" ht="15" hidden="false" customHeight="false" outlineLevel="0" collapsed="false">
      <c r="A6" s="2" t="s">
        <v>87</v>
      </c>
      <c r="B6" s="2" t="s">
        <v>88</v>
      </c>
      <c r="C6" s="2" t="s">
        <v>54</v>
      </c>
      <c r="D6" s="2" t="s">
        <v>89</v>
      </c>
      <c r="E6" s="3" t="n">
        <v>40</v>
      </c>
    </row>
    <row r="7" customFormat="false" ht="15" hidden="false" customHeight="false" outlineLevel="0" collapsed="false">
      <c r="A7" s="2" t="s">
        <v>90</v>
      </c>
      <c r="B7" s="2" t="s">
        <v>91</v>
      </c>
      <c r="C7" s="2" t="s">
        <v>36</v>
      </c>
      <c r="D7" s="2" t="s">
        <v>92</v>
      </c>
      <c r="E7" s="3" t="n">
        <v>70</v>
      </c>
    </row>
    <row r="8" customFormat="false" ht="15" hidden="false" customHeight="false" outlineLevel="0" collapsed="false">
      <c r="A8" s="2" t="s">
        <v>90</v>
      </c>
      <c r="B8" s="2" t="s">
        <v>91</v>
      </c>
      <c r="C8" s="2" t="s">
        <v>37</v>
      </c>
      <c r="D8" s="2" t="s">
        <v>93</v>
      </c>
      <c r="E8" s="3" t="n">
        <v>30</v>
      </c>
    </row>
    <row r="9" customFormat="false" ht="15" hidden="false" customHeight="false" outlineLevel="0" collapsed="false">
      <c r="A9" s="2" t="s">
        <v>94</v>
      </c>
      <c r="B9" s="2" t="s">
        <v>95</v>
      </c>
      <c r="C9" s="2" t="s">
        <v>65</v>
      </c>
      <c r="D9" s="2" t="s">
        <v>96</v>
      </c>
      <c r="E9" s="3" t="n">
        <v>200</v>
      </c>
    </row>
    <row r="10" customFormat="false" ht="15" hidden="false" customHeight="false" outlineLevel="0" collapsed="false">
      <c r="A10" s="2" t="s">
        <v>94</v>
      </c>
      <c r="B10" s="2" t="s">
        <v>95</v>
      </c>
      <c r="C10" s="2" t="s">
        <v>73</v>
      </c>
      <c r="D10" s="2" t="s">
        <v>97</v>
      </c>
      <c r="E10" s="3" t="n">
        <v>300</v>
      </c>
    </row>
    <row r="11" customFormat="false" ht="15" hidden="false" customHeight="false" outlineLevel="0" collapsed="false">
      <c r="A11" s="2" t="s">
        <v>98</v>
      </c>
      <c r="B11" s="2" t="s">
        <v>99</v>
      </c>
      <c r="C11" s="2" t="s">
        <v>65</v>
      </c>
      <c r="D11" s="2" t="s">
        <v>96</v>
      </c>
      <c r="E11" s="3" t="n">
        <v>80</v>
      </c>
    </row>
    <row r="12" customFormat="false" ht="15" hidden="false" customHeight="false" outlineLevel="0" collapsed="false">
      <c r="A12" s="2" t="s">
        <v>100</v>
      </c>
      <c r="B12" s="2" t="s">
        <v>101</v>
      </c>
      <c r="C12" s="2" t="s">
        <v>24</v>
      </c>
      <c r="D12" s="2" t="s">
        <v>102</v>
      </c>
      <c r="E12" s="3" t="n">
        <v>45</v>
      </c>
    </row>
    <row r="13" customFormat="false" ht="15" hidden="false" customHeight="false" outlineLevel="0" collapsed="false">
      <c r="A13" s="2" t="s">
        <v>100</v>
      </c>
      <c r="B13" s="2" t="s">
        <v>101</v>
      </c>
      <c r="C13" s="2" t="s">
        <v>26</v>
      </c>
      <c r="D13" s="2" t="s">
        <v>103</v>
      </c>
      <c r="E13" s="3" t="n">
        <v>35</v>
      </c>
    </row>
    <row r="14" customFormat="false" ht="15" hidden="false" customHeight="false" outlineLevel="0" collapsed="false">
      <c r="A14" s="2" t="s">
        <v>104</v>
      </c>
      <c r="B14" s="2" t="s">
        <v>105</v>
      </c>
      <c r="C14" s="2" t="s">
        <v>39</v>
      </c>
      <c r="D14" s="2" t="s">
        <v>106</v>
      </c>
      <c r="E14" s="3" t="n">
        <v>50</v>
      </c>
    </row>
    <row r="15" customFormat="false" ht="15" hidden="false" customHeight="false" outlineLevel="0" collapsed="false">
      <c r="A15" s="2" t="s">
        <v>104</v>
      </c>
      <c r="B15" s="2" t="s">
        <v>105</v>
      </c>
      <c r="C15" s="2" t="s">
        <v>38</v>
      </c>
      <c r="D15" s="2" t="s">
        <v>107</v>
      </c>
      <c r="E15" s="3" t="n">
        <v>40</v>
      </c>
    </row>
    <row r="16" customFormat="false" ht="15" hidden="false" customHeight="false" outlineLevel="0" collapsed="false">
      <c r="A16" s="2" t="s">
        <v>108</v>
      </c>
      <c r="B16" s="2" t="s">
        <v>109</v>
      </c>
      <c r="C16" s="2" t="s">
        <v>51</v>
      </c>
      <c r="D16" s="2" t="s">
        <v>110</v>
      </c>
      <c r="E16" s="3" t="n">
        <v>30</v>
      </c>
    </row>
    <row r="17" customFormat="false" ht="15" hidden="false" customHeight="false" outlineLevel="0" collapsed="false">
      <c r="A17" s="2" t="s">
        <v>111</v>
      </c>
      <c r="B17" s="2" t="s">
        <v>112</v>
      </c>
      <c r="C17" s="2" t="s">
        <v>63</v>
      </c>
      <c r="D17" s="2" t="s">
        <v>113</v>
      </c>
      <c r="E17" s="3" t="n">
        <v>50</v>
      </c>
    </row>
    <row r="18" customFormat="false" ht="15" hidden="false" customHeight="false" outlineLevel="0" collapsed="false">
      <c r="A18" s="2" t="s">
        <v>111</v>
      </c>
      <c r="B18" s="2" t="s">
        <v>112</v>
      </c>
      <c r="C18" s="2" t="s">
        <v>27</v>
      </c>
      <c r="D18" s="2" t="s">
        <v>114</v>
      </c>
      <c r="E18" s="3" t="n">
        <v>25</v>
      </c>
    </row>
    <row r="19" customFormat="false" ht="15" hidden="false" customHeight="false" outlineLevel="0" collapsed="false">
      <c r="A19" s="2" t="s">
        <v>115</v>
      </c>
      <c r="B19" s="2" t="s">
        <v>116</v>
      </c>
      <c r="C19" s="2" t="s">
        <v>70</v>
      </c>
      <c r="D19" s="2" t="s">
        <v>117</v>
      </c>
      <c r="E19" s="3" t="n">
        <v>60</v>
      </c>
    </row>
    <row r="20" customFormat="false" ht="15" hidden="false" customHeight="false" outlineLevel="0" collapsed="false">
      <c r="A20" s="2" t="s">
        <v>118</v>
      </c>
      <c r="B20" s="2" t="s">
        <v>119</v>
      </c>
      <c r="C20" s="2" t="s">
        <v>49</v>
      </c>
      <c r="D20" s="2" t="s">
        <v>120</v>
      </c>
      <c r="E20" s="3" t="n">
        <v>18</v>
      </c>
    </row>
    <row r="21" customFormat="false" ht="15" hidden="false" customHeight="false" outlineLevel="0" collapsed="false">
      <c r="A21" s="2" t="s">
        <v>121</v>
      </c>
      <c r="B21" s="2" t="s">
        <v>122</v>
      </c>
      <c r="C21" s="2" t="s">
        <v>77</v>
      </c>
      <c r="D21" s="2" t="s">
        <v>123</v>
      </c>
      <c r="E21" s="3" t="n">
        <v>200</v>
      </c>
    </row>
    <row r="22" customFormat="false" ht="15" hidden="false" customHeight="false" outlineLevel="0" collapsed="false">
      <c r="A22" s="2" t="s">
        <v>121</v>
      </c>
      <c r="B22" s="2" t="s">
        <v>122</v>
      </c>
      <c r="C22" s="2" t="s">
        <v>43</v>
      </c>
      <c r="D22" s="2" t="s">
        <v>124</v>
      </c>
      <c r="E22" s="3" t="n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2026-05-17T17:48:34Z</dcterms:created>
  <dc:creator>openpyxl</dc:creator>
  <dc:description/>
  <dc:language>en-US</dc:language>
  <cp:lastModifiedBy/>
  <dcterms:modified xsi:type="dcterms:W3CDTF">2026-05-17T17:48:34Z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